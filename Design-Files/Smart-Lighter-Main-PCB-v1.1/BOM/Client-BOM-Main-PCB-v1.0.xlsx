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4" i="1" l="1"/>
  <c r="B43" i="1" l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<sst xmlns="http://schemas.openxmlformats.org/spreadsheetml/2006/main" count="306" uniqueCount="221">
  <si>
    <t>#</t>
  </si>
  <si>
    <t>Item Type</t>
  </si>
  <si>
    <t>Antenna</t>
  </si>
  <si>
    <t>Capacitor</t>
  </si>
  <si>
    <t>Diode</t>
  </si>
  <si>
    <t>Male Header</t>
  </si>
  <si>
    <t>Connector</t>
  </si>
  <si>
    <t>Pin Header</t>
  </si>
  <si>
    <t>Inductor</t>
  </si>
  <si>
    <t>LED</t>
  </si>
  <si>
    <t>(BJT)</t>
  </si>
  <si>
    <t>Mosfet</t>
  </si>
  <si>
    <t>Resistor</t>
  </si>
  <si>
    <t>Switch</t>
  </si>
  <si>
    <t>Transformer</t>
  </si>
  <si>
    <t>IC</t>
  </si>
  <si>
    <t>Crystal</t>
  </si>
  <si>
    <t>Designator</t>
  </si>
  <si>
    <t>ANT1</t>
  </si>
  <si>
    <t>C1</t>
  </si>
  <si>
    <t>C2, C10, C12, C13, C17, C18, C19, C27</t>
  </si>
  <si>
    <t>C3, C15, C16</t>
  </si>
  <si>
    <t>C4, C5, C6</t>
  </si>
  <si>
    <t>C11</t>
  </si>
  <si>
    <t>C14</t>
  </si>
  <si>
    <t>C20, C21</t>
  </si>
  <si>
    <t>C26</t>
  </si>
  <si>
    <t>D2</t>
  </si>
  <si>
    <t>J2</t>
  </si>
  <si>
    <t>J3</t>
  </si>
  <si>
    <t>J4</t>
  </si>
  <si>
    <t>L1</t>
  </si>
  <si>
    <t>L3</t>
  </si>
  <si>
    <t>L4</t>
  </si>
  <si>
    <t>L5</t>
  </si>
  <si>
    <t>LED1</t>
  </si>
  <si>
    <t>Q1</t>
  </si>
  <si>
    <t>Q2</t>
  </si>
  <si>
    <t>Q3</t>
  </si>
  <si>
    <t>R1, R2, R26</t>
  </si>
  <si>
    <t>R5, R23, R24, R35</t>
  </si>
  <si>
    <t>R6</t>
  </si>
  <si>
    <t>R7, R8, R12, R13, R17, R19, R20, R28</t>
  </si>
  <si>
    <t>R9</t>
  </si>
  <si>
    <t>R14</t>
  </si>
  <si>
    <t>R18</t>
  </si>
  <si>
    <t>R25</t>
  </si>
  <si>
    <t>R27</t>
  </si>
  <si>
    <t>SW1, SW2</t>
  </si>
  <si>
    <t>T1</t>
  </si>
  <si>
    <t>U1</t>
  </si>
  <si>
    <t>U2</t>
  </si>
  <si>
    <t>U3</t>
  </si>
  <si>
    <t>U4</t>
  </si>
  <si>
    <t>U5</t>
  </si>
  <si>
    <t>U7</t>
  </si>
  <si>
    <t>U8</t>
  </si>
  <si>
    <t>U10</t>
  </si>
  <si>
    <t>X1</t>
  </si>
  <si>
    <t>Description</t>
  </si>
  <si>
    <t>2.4GHZ CERAMIC CHIP ANTENNA</t>
  </si>
  <si>
    <t>CAP CER 2.2UF 25V X5R 0402</t>
  </si>
  <si>
    <t>CAP CER 0.1UF 16V X5R 0402</t>
  </si>
  <si>
    <t>CAP CER 1UF 16V X5R 0402</t>
  </si>
  <si>
    <t>CAP CER 22UF 10V X5R 0603</t>
  </si>
  <si>
    <t>CAP CER 10UF 10V X5R 0402</t>
  </si>
  <si>
    <t>CAP CER 10000PF 25V X7R 0402</t>
  </si>
  <si>
    <t>CAP CER 22PF 50V C0G/NPO 0402</t>
  </si>
  <si>
    <t>CAP TANT 470UF 10% 10V 2917</t>
  </si>
  <si>
    <t>1.7V@1A 75ns 1A 1kV DO-41 Fast Recovery / High Efficiency Diodes ROHS</t>
  </si>
  <si>
    <t>Gold 250V 3A Straight Square Pins 2.5mm 2P 260℃ 6mm -40℃~+105℃ 3mm 2.54mm Plugin Black Brass 1x2P Plugin,P=2.54mm Pin Headers ROHS</t>
  </si>
  <si>
    <t>1x6P SH 1 1mm 6 SMD,P=1mm Wire To Board / Wire To Wire Connector ROHS</t>
  </si>
  <si>
    <t>Gold Bend insert Policy 2.5mm 6mm 14P -40℃~+105℃ 2.54mm Brass Double Row Black 2x7P 2.54mm Push-Pull,P=2.54mm Pin Headers ROHS</t>
  </si>
  <si>
    <t>FIXED IND 1UH 3.2A 0.042OHM SMD</t>
  </si>
  <si>
    <t>FIXED IND 6.8NH 200MA 1.15OHM SM</t>
  </si>
  <si>
    <t>FIXED IND 2NH 600MA 100 MOHM SMD</t>
  </si>
  <si>
    <t>140mA 24nH ±3% 2.3Ω 0201 Inductors (SMD) ROHS</t>
  </si>
  <si>
    <t>RED LED 0603 Light Emitting Diodes</t>
  </si>
  <si>
    <t>TRANS PNP 60V 0.6A TO236AB</t>
  </si>
  <si>
    <t>TRANS NPN 60V 10A DPAK</t>
  </si>
  <si>
    <t>TRANS NPN 40V 0.6A SMD SOT23-3</t>
  </si>
  <si>
    <t>RES  SMD 330R 100 mW 0603</t>
  </si>
  <si>
    <t>RES 4.7K OHM 1% 1/16W 0402</t>
  </si>
  <si>
    <t>RES 2.2K OHM 1% 1/10W 0603</t>
  </si>
  <si>
    <t>RES 10K OHM 1% 1/16W 0402</t>
  </si>
  <si>
    <t>RES 511K OHM 1% 1/16W 0402</t>
  </si>
  <si>
    <t>RES SMD 91K OHM 0.1% 1/16W 0402</t>
  </si>
  <si>
    <t>RES 499 OHM 1% 1/16W 0402</t>
  </si>
  <si>
    <t>Metal Film Resistors 33Ω 3W ±50ppm/℃ ±1% Plugin,D5xL15.5mm Through Hole Resistors ROHS</t>
  </si>
  <si>
    <t>RES 680 OHM 1% 1/16W 0402</t>
  </si>
  <si>
    <t>SWITCH TACTILE SPST-NO 0.05A 12V</t>
  </si>
  <si>
    <t>15KV Arc Ignition High Voltage Inverter Step Up Boost Coil Transformer Pulse Ignition 1.4x1.4x0.7cm Lighter Accessories</t>
  </si>
  <si>
    <t>SOT-23-6 Battery Management ROHS</t>
  </si>
  <si>
    <t>4.5V~5.5V 锂离子/Polymer 1 600mA SOT-23-5 Battery Management ICs ROHS</t>
  </si>
  <si>
    <t>Active Low 1 VSOF-5 Monitors &amp; Reset Circuits ROHS</t>
  </si>
  <si>
    <t>20V 6A 22mΩ@4.5V,4.5A 2W 2PCSNChannel(Common Drain) SOT-23-6 MOSFETs ROHS</t>
  </si>
  <si>
    <t>Non-Isolated PoL Module DC DC Converter 1 Output 1.2 ~ 5.3V 2A 1.6V - 5.5V Input</t>
  </si>
  <si>
    <t>IC BATT MON LI-ION 1CELL 8TDFN</t>
  </si>
  <si>
    <t>RF TXRX MODULE BLUETOOTH SMD</t>
  </si>
  <si>
    <t>16 400kHz I2C TQFN-24-EP(4x4) I/O Expanders ROHS</t>
  </si>
  <si>
    <t>40MHz SMD Crystal Resonator 15pF SMD3225-4P Crystals ROHS</t>
  </si>
  <si>
    <t>Footprint</t>
  </si>
  <si>
    <t>RFANT3216120A5T</t>
  </si>
  <si>
    <t>Cap-0402</t>
  </si>
  <si>
    <t>Cap-0603</t>
  </si>
  <si>
    <t>Case-E</t>
  </si>
  <si>
    <t>DO-41</t>
  </si>
  <si>
    <t>HDR1X2_</t>
  </si>
  <si>
    <t>P125-1207A0BR138A1</t>
  </si>
  <si>
    <t>IND-1008 (2520 Metric)</t>
  </si>
  <si>
    <t>IND-0201</t>
  </si>
  <si>
    <t>LED-0603</t>
  </si>
  <si>
    <t>SOT-23</t>
  </si>
  <si>
    <t>DPAK</t>
  </si>
  <si>
    <t>Res-0603</t>
  </si>
  <si>
    <t>Res-0402</t>
  </si>
  <si>
    <t>MFR03SF330JA10</t>
  </si>
  <si>
    <t>B3U-1000P</t>
  </si>
  <si>
    <t>15KV step-up coil transformer</t>
  </si>
  <si>
    <t>SOT-23-6</t>
  </si>
  <si>
    <t>SOT-23-5</t>
  </si>
  <si>
    <t>5-VSOF</t>
  </si>
  <si>
    <t>SOT-583</t>
  </si>
  <si>
    <t>8-TDFN-EP (2x2)</t>
  </si>
  <si>
    <t>32-QFN (5x5)</t>
  </si>
  <si>
    <t>TQFN-24-EP(4x4)</t>
  </si>
  <si>
    <t>Manufacturer Part Number</t>
  </si>
  <si>
    <t>GRM155R61E225KE11D</t>
  </si>
  <si>
    <t>CC0402KRX5R7BB104</t>
  </si>
  <si>
    <t>CC0402KRX5R7BB105</t>
  </si>
  <si>
    <t>CC0603MRX5R6BB226</t>
  </si>
  <si>
    <t>CC0402MRX5R6BB106</t>
  </si>
  <si>
    <t>CC0402KRX7R8BB103</t>
  </si>
  <si>
    <t>CC0402JRNPO9BN220</t>
  </si>
  <si>
    <t>TAJE477K010RNJ</t>
  </si>
  <si>
    <t>UF4007</t>
  </si>
  <si>
    <t>X6511WV-02H-C60D30</t>
  </si>
  <si>
    <t>C145963</t>
  </si>
  <si>
    <t>DFE252012P-1R0M=P2</t>
  </si>
  <si>
    <t>LQP03TG6N8H02D</t>
  </si>
  <si>
    <t>MLG0603P2N0CT000</t>
  </si>
  <si>
    <t>LQP03TN24NH02D</t>
  </si>
  <si>
    <t>NCD0603R3</t>
  </si>
  <si>
    <t>PMBT2907A,215</t>
  </si>
  <si>
    <t>MJD3055T4G</t>
  </si>
  <si>
    <t>MMBT2222A-7-F</t>
  </si>
  <si>
    <t>RC0603JR-07330RL</t>
  </si>
  <si>
    <t>RC0402FR-074K7L</t>
  </si>
  <si>
    <t>RC0603FR-072K2L</t>
  </si>
  <si>
    <t>RC0402FR-0710KL</t>
  </si>
  <si>
    <t>RC0402FR-07511KL</t>
  </si>
  <si>
    <t>RT0402BRD0791KL</t>
  </si>
  <si>
    <t>RC0402FR-07499RL</t>
  </si>
  <si>
    <t>RC0402FR-07680RL</t>
  </si>
  <si>
    <t>DW01-A/J</t>
  </si>
  <si>
    <t>TP4054</t>
  </si>
  <si>
    <t>BD4830FVE-TR</t>
  </si>
  <si>
    <t>.8205A</t>
  </si>
  <si>
    <t>TPS631000DRLR</t>
  </si>
  <si>
    <t>MAX17048G+T10</t>
  </si>
  <si>
    <t>ESP32-C3FH4</t>
  </si>
  <si>
    <t>AW9523BTQR</t>
  </si>
  <si>
    <t>X322540MPB4SI</t>
  </si>
  <si>
    <t>Manufacturer</t>
  </si>
  <si>
    <t>Walsin Technologies</t>
  </si>
  <si>
    <t>Murata</t>
  </si>
  <si>
    <t>Yageo</t>
  </si>
  <si>
    <t>Kyocera AVX</t>
  </si>
  <si>
    <t>MDD(Microdiode Semiconductor)</t>
  </si>
  <si>
    <t>XKB</t>
  </si>
  <si>
    <t>BOOMELE</t>
  </si>
  <si>
    <t>Yxcon</t>
  </si>
  <si>
    <t>TDK</t>
  </si>
  <si>
    <t>Foshan NationStar Optoelectronics</t>
  </si>
  <si>
    <t>Nexperia</t>
  </si>
  <si>
    <t>ON Semiconductor</t>
  </si>
  <si>
    <t>Diodes</t>
  </si>
  <si>
    <t>UNI-ROYAL</t>
  </si>
  <si>
    <t>Omron</t>
  </si>
  <si>
    <t>Aideepen</t>
  </si>
  <si>
    <t>Shenzhen Fuman Elec</t>
  </si>
  <si>
    <t>TPOWER</t>
  </si>
  <si>
    <t>Rohm</t>
  </si>
  <si>
    <t>Texas Instruments</t>
  </si>
  <si>
    <t>Maxim</t>
  </si>
  <si>
    <t>Espressif Systems</t>
  </si>
  <si>
    <t>AWINIC</t>
  </si>
  <si>
    <t>Yangxing Tech</t>
  </si>
  <si>
    <t>2.4GHZ</t>
  </si>
  <si>
    <t>2.2uf</t>
  </si>
  <si>
    <t>100nF</t>
  </si>
  <si>
    <t>1uF</t>
  </si>
  <si>
    <t>22uF</t>
  </si>
  <si>
    <t>10uF</t>
  </si>
  <si>
    <t>10nF</t>
  </si>
  <si>
    <t>22PF</t>
  </si>
  <si>
    <t>470uF</t>
  </si>
  <si>
    <t>DNP</t>
  </si>
  <si>
    <t>1uH</t>
  </si>
  <si>
    <t>6.8nH</t>
  </si>
  <si>
    <t>2nH</t>
  </si>
  <si>
    <t>24nH</t>
  </si>
  <si>
    <t>330R</t>
  </si>
  <si>
    <t>4.7K</t>
  </si>
  <si>
    <t>2.2K</t>
  </si>
  <si>
    <t>10K</t>
  </si>
  <si>
    <t>511K</t>
  </si>
  <si>
    <t>91K</t>
  </si>
  <si>
    <t>499R</t>
  </si>
  <si>
    <t>33R</t>
  </si>
  <si>
    <t>680R</t>
  </si>
  <si>
    <t>40MHz</t>
  </si>
  <si>
    <t>Quantity</t>
  </si>
  <si>
    <t>Value</t>
  </si>
  <si>
    <t>Remarks</t>
  </si>
  <si>
    <t>Custom</t>
  </si>
  <si>
    <t>Peripheral</t>
  </si>
  <si>
    <t>Battery</t>
  </si>
  <si>
    <t>3.7v 803040 1000mah lithium li polymer rechargeable battery for electronic book tablet toys Mobile Pocket replacement batteries</t>
  </si>
  <si>
    <t>-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</si>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</sst>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.aliexpress.com/item/4000939317595.html?gatewayAdapt=glo2v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4"/>
  <sheetViews>
    <sheetView tabSelected="1" workbookViewId="0">
      <selection activeCell="E48" sqref="E4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8.42578125" bestFit="1" customWidth="1"/>
    <col min="7" max="7" width="25.28515625" bestFit="1" customWidth="1"/>
    <col min="8" max="8" width="18.140625" bestFit="1" customWidth="1"/>
    <col min="9" max="9" width="6.28515625" bestFit="1" customWidth="1"/>
    <col min="10" max="10" width="16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17</v>
      </c>
      <c r="E2" s="6" t="s">
        <v>59</v>
      </c>
      <c r="F2" s="5" t="s">
        <v>101</v>
      </c>
      <c r="G2" s="6" t="s">
        <v>126</v>
      </c>
      <c r="H2" s="5" t="s">
        <v>163</v>
      </c>
      <c r="I2" s="6" t="s">
        <v>213</v>
      </c>
      <c r="J2" s="5" t="s">
        <v>212</v>
      </c>
      <c r="K2" s="5" t="s">
        <v>214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18</v>
      </c>
      <c r="E3" s="8" t="s">
        <v>60</v>
      </c>
      <c r="F3" s="7" t="s">
        <v>215</v>
      </c>
      <c r="G3" s="8" t="s">
        <v>102</v>
      </c>
      <c r="H3" s="7" t="s">
        <v>164</v>
      </c>
      <c r="I3" s="8" t="s">
        <v>188</v>
      </c>
      <c r="J3" s="7">
        <v>1</v>
      </c>
      <c r="K3" s="7"/>
    </row>
    <row r="4" spans="1:11" ht="15.75" thickBot="1" x14ac:dyDescent="0.3">
      <c r="A4" s="1"/>
      <c r="B4" s="11">
        <f t="shared" ref="B4:B42" si="0">ROW(B4) - ROW($B$2)</f>
        <v>2</v>
      </c>
      <c r="C4" s="13" t="s">
        <v>3</v>
      </c>
      <c r="D4" s="9" t="s">
        <v>19</v>
      </c>
      <c r="E4" s="10" t="s">
        <v>61</v>
      </c>
      <c r="F4" s="9" t="s">
        <v>103</v>
      </c>
      <c r="G4" s="10" t="s">
        <v>127</v>
      </c>
      <c r="H4" s="9" t="s">
        <v>165</v>
      </c>
      <c r="I4" s="10" t="s">
        <v>189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3" t="s">
        <v>3</v>
      </c>
      <c r="D5" s="7" t="s">
        <v>20</v>
      </c>
      <c r="E5" s="8" t="s">
        <v>62</v>
      </c>
      <c r="F5" s="7" t="s">
        <v>103</v>
      </c>
      <c r="G5" s="8" t="s">
        <v>128</v>
      </c>
      <c r="H5" s="7" t="s">
        <v>166</v>
      </c>
      <c r="I5" s="8" t="s">
        <v>190</v>
      </c>
      <c r="J5" s="7">
        <v>8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21</v>
      </c>
      <c r="E6" s="10" t="s">
        <v>63</v>
      </c>
      <c r="F6" s="9" t="s">
        <v>103</v>
      </c>
      <c r="G6" s="10" t="s">
        <v>129</v>
      </c>
      <c r="H6" s="9" t="s">
        <v>166</v>
      </c>
      <c r="I6" s="10" t="s">
        <v>191</v>
      </c>
      <c r="J6" s="9">
        <v>3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22</v>
      </c>
      <c r="E7" s="8" t="s">
        <v>64</v>
      </c>
      <c r="F7" s="7" t="s">
        <v>104</v>
      </c>
      <c r="G7" s="8" t="s">
        <v>130</v>
      </c>
      <c r="H7" s="7" t="s">
        <v>166</v>
      </c>
      <c r="I7" s="8" t="s">
        <v>192</v>
      </c>
      <c r="J7" s="7">
        <v>3</v>
      </c>
      <c r="K7" s="7"/>
    </row>
    <row r="8" spans="1:11" ht="15.75" thickBot="1" x14ac:dyDescent="0.3">
      <c r="A8" s="1"/>
      <c r="B8" s="11">
        <f t="shared" si="0"/>
        <v>6</v>
      </c>
      <c r="C8" s="13" t="s">
        <v>3</v>
      </c>
      <c r="D8" s="9" t="s">
        <v>23</v>
      </c>
      <c r="E8" s="10" t="s">
        <v>65</v>
      </c>
      <c r="F8" s="9" t="s">
        <v>103</v>
      </c>
      <c r="G8" s="10" t="s">
        <v>131</v>
      </c>
      <c r="H8" s="9" t="s">
        <v>166</v>
      </c>
      <c r="I8" s="10" t="s">
        <v>193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3</v>
      </c>
      <c r="D9" s="7" t="s">
        <v>24</v>
      </c>
      <c r="E9" s="8" t="s">
        <v>66</v>
      </c>
      <c r="F9" s="7" t="s">
        <v>103</v>
      </c>
      <c r="G9" s="8" t="s">
        <v>132</v>
      </c>
      <c r="H9" s="7" t="s">
        <v>166</v>
      </c>
      <c r="I9" s="8" t="s">
        <v>194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3</v>
      </c>
      <c r="D10" s="9" t="s">
        <v>25</v>
      </c>
      <c r="E10" s="10" t="s">
        <v>67</v>
      </c>
      <c r="F10" s="9" t="s">
        <v>103</v>
      </c>
      <c r="G10" s="10" t="s">
        <v>133</v>
      </c>
      <c r="H10" s="9" t="s">
        <v>166</v>
      </c>
      <c r="I10" s="10" t="s">
        <v>195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26</v>
      </c>
      <c r="E11" s="8" t="s">
        <v>68</v>
      </c>
      <c r="F11" s="7" t="s">
        <v>105</v>
      </c>
      <c r="G11" s="8" t="s">
        <v>134</v>
      </c>
      <c r="H11" s="7" t="s">
        <v>167</v>
      </c>
      <c r="I11" s="8" t="s">
        <v>196</v>
      </c>
      <c r="J11" s="7">
        <v>1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4</v>
      </c>
      <c r="D12" s="9" t="s">
        <v>27</v>
      </c>
      <c r="E12" s="10" t="s">
        <v>69</v>
      </c>
      <c r="F12" s="9" t="s">
        <v>106</v>
      </c>
      <c r="G12" s="10" t="s">
        <v>135</v>
      </c>
      <c r="H12" s="9" t="s">
        <v>168</v>
      </c>
      <c r="I12" s="10" t="s">
        <v>219</v>
      </c>
      <c r="J12" s="9">
        <v>1</v>
      </c>
      <c r="K12" s="9"/>
    </row>
    <row r="13" spans="1:11" ht="48.75" thickBot="1" x14ac:dyDescent="0.3">
      <c r="A13" s="1"/>
      <c r="B13" s="11">
        <f>ROW(B13) - ROW($B$2)</f>
        <v>11</v>
      </c>
      <c r="C13" s="12" t="s">
        <v>5</v>
      </c>
      <c r="D13" s="16" t="s">
        <v>28</v>
      </c>
      <c r="E13" s="17" t="s">
        <v>70</v>
      </c>
      <c r="F13" s="16" t="s">
        <v>107</v>
      </c>
      <c r="G13" s="17" t="s">
        <v>136</v>
      </c>
      <c r="H13" s="16" t="s">
        <v>169</v>
      </c>
      <c r="I13" s="17" t="s">
        <v>197</v>
      </c>
      <c r="J13" s="16">
        <v>1</v>
      </c>
      <c r="K13" s="18" t="s">
        <v>220</v>
      </c>
    </row>
    <row r="14" spans="1:11" ht="36.75" thickBot="1" x14ac:dyDescent="0.3">
      <c r="A14" s="1"/>
      <c r="B14" s="11">
        <f t="shared" si="0"/>
        <v>12</v>
      </c>
      <c r="C14" s="13" t="s">
        <v>6</v>
      </c>
      <c r="D14" s="9" t="s">
        <v>29</v>
      </c>
      <c r="E14" s="10" t="s">
        <v>71</v>
      </c>
      <c r="F14" s="9" t="s">
        <v>215</v>
      </c>
      <c r="G14" s="10" t="s">
        <v>137</v>
      </c>
      <c r="H14" s="9" t="s">
        <v>170</v>
      </c>
      <c r="I14" s="10" t="s">
        <v>219</v>
      </c>
      <c r="J14" s="9">
        <v>1</v>
      </c>
      <c r="K14" s="9"/>
    </row>
    <row r="15" spans="1:11" ht="48.75" thickBot="1" x14ac:dyDescent="0.3">
      <c r="A15" s="1"/>
      <c r="B15" s="11">
        <f>ROW(B15) - ROW($B$2)</f>
        <v>13</v>
      </c>
      <c r="C15" s="12" t="s">
        <v>7</v>
      </c>
      <c r="D15" s="7" t="s">
        <v>30</v>
      </c>
      <c r="E15" s="8" t="s">
        <v>72</v>
      </c>
      <c r="F15" s="9" t="s">
        <v>215</v>
      </c>
      <c r="G15" s="8" t="s">
        <v>108</v>
      </c>
      <c r="H15" s="7" t="s">
        <v>171</v>
      </c>
      <c r="I15" s="8" t="s">
        <v>219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8</v>
      </c>
      <c r="D16" s="9" t="s">
        <v>31</v>
      </c>
      <c r="E16" s="10" t="s">
        <v>73</v>
      </c>
      <c r="F16" s="9" t="s">
        <v>109</v>
      </c>
      <c r="G16" s="10" t="s">
        <v>138</v>
      </c>
      <c r="H16" s="9" t="s">
        <v>165</v>
      </c>
      <c r="I16" s="10" t="s">
        <v>198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8</v>
      </c>
      <c r="D17" s="7" t="s">
        <v>32</v>
      </c>
      <c r="E17" s="8" t="s">
        <v>74</v>
      </c>
      <c r="F17" s="7" t="s">
        <v>110</v>
      </c>
      <c r="G17" s="8" t="s">
        <v>139</v>
      </c>
      <c r="H17" s="7" t="s">
        <v>165</v>
      </c>
      <c r="I17" s="8" t="s">
        <v>199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8</v>
      </c>
      <c r="D18" s="9" t="s">
        <v>33</v>
      </c>
      <c r="E18" s="10" t="s">
        <v>75</v>
      </c>
      <c r="F18" s="9" t="s">
        <v>110</v>
      </c>
      <c r="G18" s="10" t="s">
        <v>140</v>
      </c>
      <c r="H18" s="9" t="s">
        <v>172</v>
      </c>
      <c r="I18" s="10" t="s">
        <v>200</v>
      </c>
      <c r="J18" s="9">
        <v>1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8</v>
      </c>
      <c r="D19" s="7" t="s">
        <v>34</v>
      </c>
      <c r="E19" s="8" t="s">
        <v>76</v>
      </c>
      <c r="F19" s="7" t="s">
        <v>110</v>
      </c>
      <c r="G19" s="8" t="s">
        <v>141</v>
      </c>
      <c r="H19" s="7" t="s">
        <v>165</v>
      </c>
      <c r="I19" s="8" t="s">
        <v>201</v>
      </c>
      <c r="J19" s="7">
        <v>1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9</v>
      </c>
      <c r="D20" s="9" t="s">
        <v>35</v>
      </c>
      <c r="E20" s="10" t="s">
        <v>77</v>
      </c>
      <c r="F20" s="9" t="s">
        <v>111</v>
      </c>
      <c r="G20" s="10" t="s">
        <v>142</v>
      </c>
      <c r="H20" s="9" t="s">
        <v>173</v>
      </c>
      <c r="I20" s="10" t="s">
        <v>219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10</v>
      </c>
      <c r="D21" s="7" t="s">
        <v>36</v>
      </c>
      <c r="E21" s="8" t="s">
        <v>78</v>
      </c>
      <c r="F21" s="7" t="s">
        <v>112</v>
      </c>
      <c r="G21" s="8" t="s">
        <v>143</v>
      </c>
      <c r="H21" s="7" t="s">
        <v>174</v>
      </c>
      <c r="I21" s="10" t="s">
        <v>219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11</v>
      </c>
      <c r="D22" s="9" t="s">
        <v>37</v>
      </c>
      <c r="E22" s="10" t="s">
        <v>79</v>
      </c>
      <c r="F22" s="9" t="s">
        <v>113</v>
      </c>
      <c r="G22" s="10" t="s">
        <v>144</v>
      </c>
      <c r="H22" s="9" t="s">
        <v>175</v>
      </c>
      <c r="I22" s="10" t="s">
        <v>219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11</v>
      </c>
      <c r="D23" s="7" t="s">
        <v>38</v>
      </c>
      <c r="E23" s="8" t="s">
        <v>80</v>
      </c>
      <c r="F23" s="7" t="s">
        <v>112</v>
      </c>
      <c r="G23" s="8" t="s">
        <v>145</v>
      </c>
      <c r="H23" s="7" t="s">
        <v>176</v>
      </c>
      <c r="I23" s="10" t="s">
        <v>219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12</v>
      </c>
      <c r="D24" s="9" t="s">
        <v>39</v>
      </c>
      <c r="E24" s="10" t="s">
        <v>81</v>
      </c>
      <c r="F24" s="9" t="s">
        <v>114</v>
      </c>
      <c r="G24" s="10" t="s">
        <v>146</v>
      </c>
      <c r="H24" s="9" t="s">
        <v>166</v>
      </c>
      <c r="I24" s="10" t="s">
        <v>202</v>
      </c>
      <c r="J24" s="9">
        <v>3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12</v>
      </c>
      <c r="D25" s="7" t="s">
        <v>40</v>
      </c>
      <c r="E25" s="8" t="s">
        <v>82</v>
      </c>
      <c r="F25" s="7" t="s">
        <v>115</v>
      </c>
      <c r="G25" s="8" t="s">
        <v>147</v>
      </c>
      <c r="H25" s="7" t="s">
        <v>166</v>
      </c>
      <c r="I25" s="8" t="s">
        <v>203</v>
      </c>
      <c r="J25" s="7">
        <v>4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12</v>
      </c>
      <c r="D26" s="9" t="s">
        <v>41</v>
      </c>
      <c r="E26" s="10" t="s">
        <v>83</v>
      </c>
      <c r="F26" s="9" t="s">
        <v>114</v>
      </c>
      <c r="G26" s="10" t="s">
        <v>148</v>
      </c>
      <c r="H26" s="9" t="s">
        <v>166</v>
      </c>
      <c r="I26" s="10" t="s">
        <v>204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12</v>
      </c>
      <c r="D27" s="7" t="s">
        <v>42</v>
      </c>
      <c r="E27" s="8" t="s">
        <v>84</v>
      </c>
      <c r="F27" s="7" t="s">
        <v>115</v>
      </c>
      <c r="G27" s="8" t="s">
        <v>149</v>
      </c>
      <c r="H27" s="7" t="s">
        <v>166</v>
      </c>
      <c r="I27" s="8" t="s">
        <v>205</v>
      </c>
      <c r="J27" s="7">
        <v>8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12</v>
      </c>
      <c r="D28" s="9" t="s">
        <v>43</v>
      </c>
      <c r="E28" s="10" t="s">
        <v>85</v>
      </c>
      <c r="F28" s="9" t="s">
        <v>115</v>
      </c>
      <c r="G28" s="10" t="s">
        <v>150</v>
      </c>
      <c r="H28" s="9" t="s">
        <v>166</v>
      </c>
      <c r="I28" s="10" t="s">
        <v>206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12</v>
      </c>
      <c r="D29" s="7" t="s">
        <v>44</v>
      </c>
      <c r="E29" s="8" t="s">
        <v>86</v>
      </c>
      <c r="F29" s="7" t="s">
        <v>115</v>
      </c>
      <c r="G29" s="8" t="s">
        <v>151</v>
      </c>
      <c r="H29" s="7" t="s">
        <v>166</v>
      </c>
      <c r="I29" s="8" t="s">
        <v>207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2" t="s">
        <v>12</v>
      </c>
      <c r="D30" s="9" t="s">
        <v>45</v>
      </c>
      <c r="E30" s="10" t="s">
        <v>87</v>
      </c>
      <c r="F30" s="9" t="s">
        <v>115</v>
      </c>
      <c r="G30" s="10" t="s">
        <v>152</v>
      </c>
      <c r="H30" s="9" t="s">
        <v>166</v>
      </c>
      <c r="I30" s="10" t="s">
        <v>208</v>
      </c>
      <c r="J30" s="9">
        <v>1</v>
      </c>
      <c r="K30" s="9"/>
    </row>
    <row r="31" spans="1:11" ht="36.75" thickBot="1" x14ac:dyDescent="0.3">
      <c r="A31" s="1"/>
      <c r="B31" s="11">
        <f>ROW(B31) - ROW($B$2)</f>
        <v>29</v>
      </c>
      <c r="C31" s="12" t="s">
        <v>12</v>
      </c>
      <c r="D31" s="7" t="s">
        <v>46</v>
      </c>
      <c r="E31" s="8" t="s">
        <v>88</v>
      </c>
      <c r="F31" s="7" t="s">
        <v>215</v>
      </c>
      <c r="G31" s="8" t="s">
        <v>116</v>
      </c>
      <c r="H31" s="7" t="s">
        <v>177</v>
      </c>
      <c r="I31" s="8" t="s">
        <v>209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12</v>
      </c>
      <c r="D32" s="9" t="s">
        <v>47</v>
      </c>
      <c r="E32" s="10" t="s">
        <v>89</v>
      </c>
      <c r="F32" s="9" t="s">
        <v>115</v>
      </c>
      <c r="G32" s="10" t="s">
        <v>153</v>
      </c>
      <c r="H32" s="9" t="s">
        <v>166</v>
      </c>
      <c r="I32" s="10" t="s">
        <v>210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13</v>
      </c>
      <c r="D33" s="7" t="s">
        <v>48</v>
      </c>
      <c r="E33" s="8" t="s">
        <v>90</v>
      </c>
      <c r="F33" s="7" t="s">
        <v>215</v>
      </c>
      <c r="G33" s="8" t="s">
        <v>117</v>
      </c>
      <c r="H33" s="7" t="s">
        <v>178</v>
      </c>
      <c r="I33" s="8" t="s">
        <v>219</v>
      </c>
      <c r="J33" s="7">
        <v>2</v>
      </c>
      <c r="K33" s="7"/>
    </row>
    <row r="34" spans="1:11" ht="48.75" thickBot="1" x14ac:dyDescent="0.3">
      <c r="A34" s="1"/>
      <c r="B34" s="11">
        <f t="shared" si="0"/>
        <v>32</v>
      </c>
      <c r="C34" s="13" t="s">
        <v>14</v>
      </c>
      <c r="D34" s="9" t="s">
        <v>49</v>
      </c>
      <c r="E34" s="10" t="s">
        <v>91</v>
      </c>
      <c r="F34" s="9" t="s">
        <v>215</v>
      </c>
      <c r="G34" s="10" t="s">
        <v>118</v>
      </c>
      <c r="H34" s="9" t="s">
        <v>179</v>
      </c>
      <c r="I34" s="8" t="s">
        <v>219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15</v>
      </c>
      <c r="D35" s="7" t="s">
        <v>50</v>
      </c>
      <c r="E35" s="8" t="s">
        <v>92</v>
      </c>
      <c r="F35" s="7" t="s">
        <v>119</v>
      </c>
      <c r="G35" s="8" t="s">
        <v>154</v>
      </c>
      <c r="H35" s="7" t="s">
        <v>180</v>
      </c>
      <c r="I35" s="8" t="s">
        <v>219</v>
      </c>
      <c r="J35" s="7">
        <v>1</v>
      </c>
      <c r="K35" s="7"/>
    </row>
    <row r="36" spans="1:11" ht="36.75" thickBot="1" x14ac:dyDescent="0.3">
      <c r="A36" s="1"/>
      <c r="B36" s="11">
        <f t="shared" si="0"/>
        <v>34</v>
      </c>
      <c r="C36" s="13" t="s">
        <v>15</v>
      </c>
      <c r="D36" s="9" t="s">
        <v>51</v>
      </c>
      <c r="E36" s="10" t="s">
        <v>93</v>
      </c>
      <c r="F36" s="9" t="s">
        <v>120</v>
      </c>
      <c r="G36" s="10" t="s">
        <v>155</v>
      </c>
      <c r="H36" s="9" t="s">
        <v>181</v>
      </c>
      <c r="I36" s="8" t="s">
        <v>219</v>
      </c>
      <c r="J36" s="9">
        <v>1</v>
      </c>
      <c r="K36" s="9"/>
    </row>
    <row r="37" spans="1:11" ht="24.75" thickBot="1" x14ac:dyDescent="0.3">
      <c r="A37" s="1"/>
      <c r="B37" s="11">
        <f>ROW(B37) - ROW($B$2)</f>
        <v>35</v>
      </c>
      <c r="C37" s="12" t="s">
        <v>15</v>
      </c>
      <c r="D37" s="7" t="s">
        <v>52</v>
      </c>
      <c r="E37" s="8" t="s">
        <v>94</v>
      </c>
      <c r="F37" s="7" t="s">
        <v>121</v>
      </c>
      <c r="G37" s="8" t="s">
        <v>156</v>
      </c>
      <c r="H37" s="7" t="s">
        <v>182</v>
      </c>
      <c r="I37" s="8" t="s">
        <v>219</v>
      </c>
      <c r="J37" s="7">
        <v>1</v>
      </c>
      <c r="K37" s="7"/>
    </row>
    <row r="38" spans="1:11" ht="36.75" thickBot="1" x14ac:dyDescent="0.3">
      <c r="A38" s="1"/>
      <c r="B38" s="11">
        <f t="shared" si="0"/>
        <v>36</v>
      </c>
      <c r="C38" s="13" t="s">
        <v>15</v>
      </c>
      <c r="D38" s="9" t="s">
        <v>53</v>
      </c>
      <c r="E38" s="10" t="s">
        <v>95</v>
      </c>
      <c r="F38" s="9" t="s">
        <v>119</v>
      </c>
      <c r="G38" s="10" t="s">
        <v>157</v>
      </c>
      <c r="H38" s="9" t="s">
        <v>180</v>
      </c>
      <c r="I38" s="8" t="s">
        <v>219</v>
      </c>
      <c r="J38" s="9">
        <v>1</v>
      </c>
      <c r="K38" s="9"/>
    </row>
    <row r="39" spans="1:11" ht="36.75" thickBot="1" x14ac:dyDescent="0.3">
      <c r="A39" s="1"/>
      <c r="B39" s="11">
        <f>ROW(B39) - ROW($B$2)</f>
        <v>37</v>
      </c>
      <c r="C39" s="12" t="s">
        <v>15</v>
      </c>
      <c r="D39" s="7" t="s">
        <v>54</v>
      </c>
      <c r="E39" s="8" t="s">
        <v>96</v>
      </c>
      <c r="F39" s="7" t="s">
        <v>122</v>
      </c>
      <c r="G39" s="8" t="s">
        <v>158</v>
      </c>
      <c r="H39" s="7" t="s">
        <v>183</v>
      </c>
      <c r="I39" s="8" t="s">
        <v>219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15</v>
      </c>
      <c r="D40" s="9" t="s">
        <v>55</v>
      </c>
      <c r="E40" s="10" t="s">
        <v>97</v>
      </c>
      <c r="F40" s="9" t="s">
        <v>123</v>
      </c>
      <c r="G40" s="10" t="s">
        <v>159</v>
      </c>
      <c r="H40" s="9" t="s">
        <v>184</v>
      </c>
      <c r="I40" s="8" t="s">
        <v>219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15</v>
      </c>
      <c r="D41" s="7" t="s">
        <v>56</v>
      </c>
      <c r="E41" s="8" t="s">
        <v>98</v>
      </c>
      <c r="F41" s="7" t="s">
        <v>124</v>
      </c>
      <c r="G41" s="8" t="s">
        <v>160</v>
      </c>
      <c r="H41" s="7" t="s">
        <v>185</v>
      </c>
      <c r="I41" s="8" t="s">
        <v>219</v>
      </c>
      <c r="J41" s="7">
        <v>1</v>
      </c>
      <c r="K41" s="7"/>
    </row>
    <row r="42" spans="1:11" ht="24.75" thickBot="1" x14ac:dyDescent="0.3">
      <c r="A42" s="1"/>
      <c r="B42" s="11">
        <f t="shared" si="0"/>
        <v>40</v>
      </c>
      <c r="C42" s="13" t="s">
        <v>15</v>
      </c>
      <c r="D42" s="9" t="s">
        <v>57</v>
      </c>
      <c r="E42" s="10" t="s">
        <v>99</v>
      </c>
      <c r="F42" s="9" t="s">
        <v>125</v>
      </c>
      <c r="G42" s="10" t="s">
        <v>161</v>
      </c>
      <c r="H42" s="9" t="s">
        <v>186</v>
      </c>
      <c r="I42" s="8" t="s">
        <v>219</v>
      </c>
      <c r="J42" s="9">
        <v>1</v>
      </c>
      <c r="K42" s="9"/>
    </row>
    <row r="43" spans="1:11" ht="24.75" thickBot="1" x14ac:dyDescent="0.3">
      <c r="A43" s="1"/>
      <c r="B43" s="11">
        <f>ROW(B43) - ROW($B$2)</f>
        <v>41</v>
      </c>
      <c r="C43" s="12" t="s">
        <v>16</v>
      </c>
      <c r="D43" s="7" t="s">
        <v>58</v>
      </c>
      <c r="E43" s="8" t="s">
        <v>100</v>
      </c>
      <c r="F43" s="7" t="s">
        <v>215</v>
      </c>
      <c r="G43" s="8" t="s">
        <v>162</v>
      </c>
      <c r="H43" s="7" t="s">
        <v>187</v>
      </c>
      <c r="I43" s="8" t="s">
        <v>211</v>
      </c>
      <c r="J43" s="7">
        <v>1</v>
      </c>
      <c r="K43" s="7"/>
    </row>
    <row r="44" spans="1:11" ht="48.75" thickBot="1" x14ac:dyDescent="0.3">
      <c r="B44" s="11">
        <f>ROW(B44) - ROW($B$2)</f>
        <v>42</v>
      </c>
      <c r="C44" s="12" t="s">
        <v>216</v>
      </c>
      <c r="D44" s="7" t="s">
        <v>217</v>
      </c>
      <c r="E44" s="8" t="s">
        <v>218</v>
      </c>
      <c r="F44" s="7" t="s">
        <v>215</v>
      </c>
      <c r="G44" s="8" t="s">
        <v>219</v>
      </c>
      <c r="H44" s="7" t="s">
        <v>219</v>
      </c>
      <c r="I44" s="8" t="s">
        <v>219</v>
      </c>
      <c r="J44" s="7">
        <v>1</v>
      </c>
      <c r="K44" s="15" t="s">
        <v>217</v>
      </c>
    </row>
  </sheetData>
  <mergeCells count="1">
    <mergeCell ref="I1:K1"/>
  </mergeCells>
  <hyperlinks>
    <hyperlink ref="K44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2024-10-21T08:07:29Z</dcterms:modified>
</cp:coreProperties>
</file>